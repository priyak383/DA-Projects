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ml.chartshapes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ml.chartshapes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4.xml" ContentType="application/vnd.openxmlformats-officedocument.drawingml.chartshapes+xml"/>
  <Override PartName="/xl/drawings/drawing5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675b0308a5c8a00/Documents/ITPreneur/DA/Power BI/"/>
    </mc:Choice>
  </mc:AlternateContent>
  <xr:revisionPtr revIDLastSave="0" documentId="8_{016ED97E-25ED-4DDB-914B-8451139AD355}" xr6:coauthVersionLast="47" xr6:coauthVersionMax="47" xr10:uidLastSave="{00000000-0000-0000-0000-000000000000}"/>
  <bookViews>
    <workbookView xWindow="-120" yWindow="-120" windowWidth="20730" windowHeight="11160" xr2:uid="{810B916D-8AC5-B94F-AAD8-02E834047D22}"/>
  </bookViews>
  <sheets>
    <sheet name="Dashboard" sheetId="1" r:id="rId1"/>
    <sheet name="Inputs" sheetId="3" r:id="rId2"/>
  </sheets>
  <definedNames>
    <definedName name="_xlchart.v5.0" hidden="1">Inputs!$G$12</definedName>
    <definedName name="_xlchart.v5.1" hidden="1">Inputs!$G$13:$G$19</definedName>
    <definedName name="_xlchart.v5.2" hidden="1">Inputs!$H$12</definedName>
    <definedName name="_xlchart.v5.3" hidden="1">Inputs!$H$13:$H$19</definedName>
    <definedName name="_xlchart.v5.4" hidden="1">Inputs!$G$12</definedName>
    <definedName name="_xlchart.v5.5" hidden="1">Inputs!$G$13:$G$19</definedName>
    <definedName name="_xlchart.v5.6" hidden="1">Inputs!$H$12</definedName>
    <definedName name="_xlchart.v5.7" hidden="1">Inputs!$H$13:$H$19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25" i="3" l="1"/>
  <c r="D25" i="3"/>
  <c r="D7" i="3"/>
  <c r="D8" i="3" s="1"/>
  <c r="J7" i="3"/>
  <c r="J8" i="3" s="1"/>
  <c r="G7" i="3"/>
  <c r="G8" i="3" s="1"/>
</calcChain>
</file>

<file path=xl/sharedStrings.xml><?xml version="1.0" encoding="utf-8"?>
<sst xmlns="http://schemas.openxmlformats.org/spreadsheetml/2006/main" count="53" uniqueCount="41">
  <si>
    <t>Argentina</t>
  </si>
  <si>
    <t>Bolivia</t>
  </si>
  <si>
    <t>Chile</t>
  </si>
  <si>
    <t>Colombia</t>
  </si>
  <si>
    <t>Ecuador</t>
  </si>
  <si>
    <t>Peru</t>
  </si>
  <si>
    <t>May</t>
  </si>
  <si>
    <t>Figures in $M</t>
  </si>
  <si>
    <t>Jan</t>
  </si>
  <si>
    <t>Feb</t>
  </si>
  <si>
    <t>Mar</t>
  </si>
  <si>
    <t>Apr</t>
  </si>
  <si>
    <t>Jun</t>
  </si>
  <si>
    <t>Jul</t>
  </si>
  <si>
    <t>Aug</t>
  </si>
  <si>
    <t>Sep</t>
  </si>
  <si>
    <t>Oct</t>
  </si>
  <si>
    <t>Nov</t>
  </si>
  <si>
    <t>Dec</t>
  </si>
  <si>
    <t>Customer Satisfaction</t>
  </si>
  <si>
    <t>Sales by country 2022</t>
  </si>
  <si>
    <t>Brazil</t>
  </si>
  <si>
    <t>Score</t>
  </si>
  <si>
    <t>Customers</t>
  </si>
  <si>
    <t>Availability (95%)</t>
  </si>
  <si>
    <t>Service (53%)</t>
  </si>
  <si>
    <t>Hygene (93%)</t>
  </si>
  <si>
    <t>Quality (86%)</t>
  </si>
  <si>
    <t>Speed (54%)</t>
  </si>
  <si>
    <t>Amount</t>
  </si>
  <si>
    <t>Actual</t>
  </si>
  <si>
    <t>Target</t>
  </si>
  <si>
    <t>Profit</t>
  </si>
  <si>
    <t>Sales (M)</t>
  </si>
  <si>
    <t>% Complete</t>
  </si>
  <si>
    <t>Remainder</t>
  </si>
  <si>
    <t>KPIs</t>
  </si>
  <si>
    <t>Sales</t>
  </si>
  <si>
    <t>2021</t>
  </si>
  <si>
    <t>2022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</si>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</sst>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-&quot;£&quot;* #,##0.00_-;\-&quot;£&quot;* #,##0.00_-;_-&quot;£&quot;* &quot;-&quot;??_-;_-@_-"/>
    <numFmt numFmtId="165" formatCode="_-* #,##0.00_-;\-* #,##0.00_-;_-* &quot;-&quot;??_-;_-@_-"/>
    <numFmt numFmtId="166" formatCode="_-* #,##0.0_-;\-* #,##0.0_-;_-* &quot;-&quot;??_-;_-@_-"/>
    <numFmt numFmtId="167" formatCode="_-[$$-409]* #,##0_ ;_-[$$-409]* \-#,##0\ ;_-[$$-409]* &quot;-&quot;??_ ;_-@_ "/>
    <numFmt numFmtId="168" formatCode="\$\ 0.00\ &quot;M&quot;"/>
  </numFmts>
  <fonts count="6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73673"/>
        <bgColor indexed="64"/>
      </patternFill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6">
    <xf numFmtId="0" fontId="0" fillId="0" borderId="0"/>
    <xf numFmtId="165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1" fillId="0" borderId="0"/>
    <xf numFmtId="0" fontId="5" fillId="0" borderId="0" applyNumberFormat="0" applyFill="0" applyBorder="0" applyAlignment="0" applyProtection="0"/>
  </cellStyleXfs>
  <cellXfs count="14">
    <xf numFmtId="0" fontId="0" fillId="0" borderId="0" xfId="0"/>
    <xf numFmtId="0" fontId="0" fillId="2" borderId="0" xfId="0" applyFill="1"/>
    <xf numFmtId="0" fontId="0" fillId="3" borderId="0" xfId="0" applyFill="1"/>
    <xf numFmtId="0" fontId="4" fillId="2" borderId="0" xfId="0" applyFont="1" applyFill="1"/>
    <xf numFmtId="0" fontId="4" fillId="2" borderId="0" xfId="0" applyFont="1" applyFill="1" applyAlignment="1">
      <alignment horizontal="center"/>
    </xf>
    <xf numFmtId="9" fontId="0" fillId="0" borderId="0" xfId="0" applyNumberFormat="1" applyAlignment="1">
      <alignment horizontal="center"/>
    </xf>
    <xf numFmtId="166" fontId="0" fillId="0" borderId="0" xfId="1" applyNumberFormat="1" applyFont="1" applyAlignment="1">
      <alignment horizontal="center"/>
    </xf>
    <xf numFmtId="9" fontId="0" fillId="0" borderId="0" xfId="2" applyFont="1"/>
    <xf numFmtId="0" fontId="3" fillId="0" borderId="1" xfId="0" applyFont="1" applyBorder="1"/>
    <xf numFmtId="167" fontId="0" fillId="0" borderId="0" xfId="1" applyNumberFormat="1" applyFont="1" applyAlignment="1">
      <alignment horizontal="center"/>
    </xf>
    <xf numFmtId="167" fontId="0" fillId="0" borderId="0" xfId="3" applyNumberFormat="1" applyFont="1" applyAlignment="1">
      <alignment horizontal="center"/>
    </xf>
    <xf numFmtId="168" fontId="0" fillId="0" borderId="0" xfId="0" applyNumberFormat="1" applyAlignment="1">
      <alignment horizontal="center"/>
    </xf>
    <xf numFmtId="168" fontId="0" fillId="0" borderId="0" xfId="0" applyNumberFormat="1"/>
    <xf numFmtId="9" fontId="0" fillId="0" borderId="0" xfId="0" applyNumberFormat="1"/>
  </cellXfs>
  <cellStyles count="6">
    <cellStyle name="Comma" xfId="1" builtinId="3"/>
    <cellStyle name="Currency" xfId="3" builtinId="4"/>
    <cellStyle name="Hyperlink 2 2" xfId="5" xr:uid="{267E623E-6B15-4CCC-B9BC-250C77BAA95E}"/>
    <cellStyle name="Normal" xfId="0" builtinId="0"/>
    <cellStyle name="Normal 2" xfId="4" xr:uid="{E02C944C-12D6-4A93-B617-B69D0B1006BB}"/>
    <cellStyle name="Per cent" xfId="2" builtinId="5"/>
  </cellStyles>
  <dxfs count="12">
    <dxf>
      <numFmt numFmtId="13" formatCode="0%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family val="2"/>
        <scheme val="minor"/>
      </font>
      <fill>
        <patternFill patternType="solid">
          <fgColor indexed="64"/>
          <bgColor rgb="FF073673"/>
        </patternFill>
      </fill>
      <alignment horizontal="center" vertical="bottom" textRotation="0" wrapText="0" indent="0" justifyLastLine="0" shrinkToFit="0" readingOrder="0"/>
    </dxf>
    <dxf>
      <numFmt numFmtId="168" formatCode="\$\ 0.00\ &quot;M&quot;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family val="2"/>
        <scheme val="minor"/>
      </font>
      <fill>
        <patternFill patternType="solid">
          <fgColor indexed="64"/>
          <bgColor rgb="FF073673"/>
        </patternFill>
      </fill>
    </dxf>
    <dxf>
      <numFmt numFmtId="168" formatCode="\$\ 0.00\ &quot;M&quot;"/>
    </dxf>
    <dxf>
      <numFmt numFmtId="168" formatCode="\$\ 0.00\ &quot;M&quot;"/>
    </dxf>
    <dxf>
      <numFmt numFmtId="168" formatCode="\$\ 0.00\ &quot;M&quot;"/>
    </dxf>
    <dxf>
      <numFmt numFmtId="168" formatCode="\$\ 0.00\ &quot;M&quot;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family val="2"/>
        <scheme val="minor"/>
      </font>
      <fill>
        <patternFill patternType="solid">
          <fgColor indexed="64"/>
          <bgColor rgb="FF073673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family val="2"/>
        <scheme val="minor"/>
      </font>
      <fill>
        <patternFill patternType="solid">
          <fgColor indexed="64"/>
          <bgColor rgb="FF073673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family val="2"/>
        <scheme val="minor"/>
      </font>
      <fill>
        <patternFill patternType="solid">
          <fgColor indexed="64"/>
          <bgColor rgb="FF073673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family val="2"/>
        <scheme val="minor"/>
      </font>
      <fill>
        <patternFill patternType="solid">
          <fgColor indexed="64"/>
          <bgColor rgb="FF073673"/>
        </patternFill>
      </fill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colors>
    <mruColors>
      <color rgb="FF073673"/>
      <color rgb="FFEFCB1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.xml"/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4.xml"/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5246139001643516"/>
          <c:y val="1.9536066753153131E-2"/>
          <c:w val="0.74284713058334972"/>
          <c:h val="0.9504477060899994"/>
        </c:manualLayout>
      </c:layout>
      <c:pieChart>
        <c:varyColors val="1"/>
        <c:ser>
          <c:idx val="0"/>
          <c:order val="0"/>
          <c:tx>
            <c:strRef>
              <c:f>Inputs!$K$12</c:f>
              <c:strCache>
                <c:ptCount val="1"/>
                <c:pt idx="0">
                  <c:v>Score</c:v>
                </c:pt>
              </c:strCache>
            </c:strRef>
          </c:tx>
          <c:spPr>
            <a:ln>
              <a:noFill/>
            </a:ln>
          </c:spPr>
          <c:explosion val="3"/>
          <c:dPt>
            <c:idx val="0"/>
            <c:bubble3D val="0"/>
            <c:spPr>
              <a:gradFill flip="none" rotWithShape="1">
                <a:gsLst>
                  <a:gs pos="0">
                    <a:schemeClr val="accent1">
                      <a:lumMod val="67000"/>
                    </a:schemeClr>
                  </a:gs>
                  <a:gs pos="48000">
                    <a:schemeClr val="accent1">
                      <a:lumMod val="97000"/>
                      <a:lumOff val="3000"/>
                    </a:schemeClr>
                  </a:gs>
                  <a:gs pos="100000">
                    <a:schemeClr val="accent1">
                      <a:lumMod val="60000"/>
                      <a:lumOff val="40000"/>
                    </a:schemeClr>
                  </a:gs>
                </a:gsLst>
                <a:lin ang="16200000" scaled="1"/>
                <a:tileRect/>
              </a:gra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F4F6-264D-A1F7-411F746C446F}"/>
              </c:ext>
            </c:extLst>
          </c:dPt>
          <c:dPt>
            <c:idx val="1"/>
            <c:bubble3D val="0"/>
            <c:spPr>
              <a:gradFill flip="none" rotWithShape="1">
                <a:gsLst>
                  <a:gs pos="0">
                    <a:schemeClr val="accent2">
                      <a:lumMod val="67000"/>
                    </a:schemeClr>
                  </a:gs>
                  <a:gs pos="48000">
                    <a:schemeClr val="accent2">
                      <a:lumMod val="97000"/>
                      <a:lumOff val="3000"/>
                    </a:schemeClr>
                  </a:gs>
                  <a:gs pos="100000">
                    <a:schemeClr val="accent2">
                      <a:lumMod val="60000"/>
                      <a:lumOff val="40000"/>
                    </a:schemeClr>
                  </a:gs>
                </a:gsLst>
                <a:lin ang="16200000" scaled="1"/>
                <a:tileRect/>
              </a:gra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F4F6-264D-A1F7-411F746C446F}"/>
              </c:ext>
            </c:extLst>
          </c:dPt>
          <c:dPt>
            <c:idx val="2"/>
            <c:bubble3D val="0"/>
            <c:spPr>
              <a:gradFill flip="none" rotWithShape="1">
                <a:gsLst>
                  <a:gs pos="0">
                    <a:schemeClr val="accent3">
                      <a:lumMod val="67000"/>
                    </a:schemeClr>
                  </a:gs>
                  <a:gs pos="48000">
                    <a:schemeClr val="accent3">
                      <a:lumMod val="97000"/>
                      <a:lumOff val="3000"/>
                    </a:schemeClr>
                  </a:gs>
                  <a:gs pos="100000">
                    <a:schemeClr val="accent3">
                      <a:lumMod val="60000"/>
                      <a:lumOff val="40000"/>
                    </a:schemeClr>
                  </a:gs>
                </a:gsLst>
                <a:lin ang="16200000" scaled="1"/>
                <a:tileRect/>
              </a:gra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F4F6-264D-A1F7-411F746C446F}"/>
              </c:ext>
            </c:extLst>
          </c:dPt>
          <c:dPt>
            <c:idx val="3"/>
            <c:bubble3D val="0"/>
            <c:spPr>
              <a:gradFill flip="none" rotWithShape="1">
                <a:gsLst>
                  <a:gs pos="0">
                    <a:schemeClr val="accent4">
                      <a:lumMod val="67000"/>
                    </a:schemeClr>
                  </a:gs>
                  <a:gs pos="48000">
                    <a:schemeClr val="accent4">
                      <a:lumMod val="97000"/>
                      <a:lumOff val="3000"/>
                    </a:schemeClr>
                  </a:gs>
                  <a:gs pos="100000">
                    <a:schemeClr val="accent4">
                      <a:lumMod val="60000"/>
                      <a:lumOff val="40000"/>
                    </a:schemeClr>
                  </a:gs>
                </a:gsLst>
                <a:lin ang="16200000" scaled="1"/>
                <a:tileRect/>
              </a:gra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F4F6-264D-A1F7-411F746C446F}"/>
              </c:ext>
            </c:extLst>
          </c:dPt>
          <c:dPt>
            <c:idx val="4"/>
            <c:bubble3D val="0"/>
            <c:spPr>
              <a:gradFill flip="none" rotWithShape="1">
                <a:gsLst>
                  <a:gs pos="0">
                    <a:schemeClr val="accent5">
                      <a:lumMod val="67000"/>
                    </a:schemeClr>
                  </a:gs>
                  <a:gs pos="48000">
                    <a:schemeClr val="accent5">
                      <a:lumMod val="97000"/>
                      <a:lumOff val="3000"/>
                    </a:schemeClr>
                  </a:gs>
                  <a:gs pos="100000">
                    <a:schemeClr val="accent5">
                      <a:lumMod val="60000"/>
                      <a:lumOff val="40000"/>
                    </a:schemeClr>
                  </a:gs>
                </a:gsLst>
                <a:lin ang="16200000" scaled="1"/>
                <a:tileRect/>
              </a:gra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F4F6-264D-A1F7-411F746C446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0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Inputs!$J$13:$J$17</c:f>
              <c:strCache>
                <c:ptCount val="5"/>
                <c:pt idx="0">
                  <c:v>Speed (54%)</c:v>
                </c:pt>
                <c:pt idx="1">
                  <c:v>Quality (86%)</c:v>
                </c:pt>
                <c:pt idx="2">
                  <c:v>Hygene (93%)</c:v>
                </c:pt>
                <c:pt idx="3">
                  <c:v>Service (53%)</c:v>
                </c:pt>
                <c:pt idx="4">
                  <c:v>Availability (95%)</c:v>
                </c:pt>
              </c:strCache>
            </c:strRef>
          </c:cat>
          <c:val>
            <c:numRef>
              <c:f>Inputs!$K$13:$K$17</c:f>
              <c:numCache>
                <c:formatCode>0%</c:formatCode>
                <c:ptCount val="5"/>
                <c:pt idx="0">
                  <c:v>0.54</c:v>
                </c:pt>
                <c:pt idx="1">
                  <c:v>0.86</c:v>
                </c:pt>
                <c:pt idx="2">
                  <c:v>0.93</c:v>
                </c:pt>
                <c:pt idx="3">
                  <c:v>0.53</c:v>
                </c:pt>
                <c:pt idx="4">
                  <c:v>0.95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F4F6-264D-A1F7-411F746C44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1.8276473832118932E-3"/>
          <c:y val="5.1274785871796152E-2"/>
          <c:w val="0.99817235261678816"/>
          <c:h val="0.78063604224719363"/>
        </c:manualLayout>
      </c:layout>
      <c:lineChart>
        <c:grouping val="standard"/>
        <c:varyColors val="0"/>
        <c:ser>
          <c:idx val="0"/>
          <c:order val="0"/>
          <c:tx>
            <c:strRef>
              <c:f>Inputs!$D$12</c:f>
              <c:strCache>
                <c:ptCount val="1"/>
                <c:pt idx="0">
                  <c:v>2021</c:v>
                </c:pt>
              </c:strCache>
            </c:strRef>
          </c:tx>
          <c:spPr>
            <a:ln w="28575" cap="rnd">
              <a:gradFill flip="none" rotWithShape="1">
                <a:gsLst>
                  <a:gs pos="0">
                    <a:schemeClr val="accent1">
                      <a:lumMod val="67000"/>
                    </a:schemeClr>
                  </a:gs>
                  <a:gs pos="48000">
                    <a:schemeClr val="accent1">
                      <a:lumMod val="97000"/>
                      <a:lumOff val="3000"/>
                    </a:schemeClr>
                  </a:gs>
                  <a:gs pos="100000">
                    <a:schemeClr val="accent1">
                      <a:lumMod val="60000"/>
                      <a:lumOff val="40000"/>
                    </a:schemeClr>
                  </a:gs>
                </a:gsLst>
                <a:lin ang="16200000" scaled="1"/>
                <a:tileRect/>
              </a:gradFill>
              <a:round/>
            </a:ln>
            <a:effectLst/>
          </c:spPr>
          <c:marker>
            <c:symbol val="circle"/>
            <c:size val="5"/>
            <c:spPr>
              <a:solidFill>
                <a:schemeClr val="bg1"/>
              </a:solidFill>
              <a:ln w="12700">
                <a:solidFill>
                  <a:schemeClr val="accent1"/>
                </a:solidFill>
              </a:ln>
              <a:effectLst/>
            </c:spPr>
          </c:marker>
          <c:dLbls>
            <c:numFmt formatCode="\$0.00\ &quot;M&quot;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gradFill flip="none" rotWithShape="1">
                      <a:gsLst>
                        <a:gs pos="0">
                          <a:schemeClr val="accent1">
                            <a:lumMod val="67000"/>
                          </a:schemeClr>
                        </a:gs>
                        <a:gs pos="48000">
                          <a:schemeClr val="accent1">
                            <a:lumMod val="97000"/>
                            <a:lumOff val="3000"/>
                          </a:schemeClr>
                        </a:gs>
                        <a:gs pos="100000">
                          <a:schemeClr val="accent1">
                            <a:lumMod val="60000"/>
                            <a:lumOff val="40000"/>
                          </a:schemeClr>
                        </a:gs>
                      </a:gsLst>
                      <a:lin ang="16200000" scaled="1"/>
                      <a:tileRect/>
                    </a:gra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Inputs!$C$13:$C$24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Inputs!$D$13:$D$24</c:f>
              <c:numCache>
                <c:formatCode>\$\ 0.00\ "M"</c:formatCode>
                <c:ptCount val="12"/>
                <c:pt idx="0">
                  <c:v>201.9</c:v>
                </c:pt>
                <c:pt idx="1">
                  <c:v>204.2</c:v>
                </c:pt>
                <c:pt idx="2">
                  <c:v>198.6</c:v>
                </c:pt>
                <c:pt idx="3">
                  <c:v>199.2</c:v>
                </c:pt>
                <c:pt idx="4">
                  <c:v>206.4</c:v>
                </c:pt>
                <c:pt idx="5">
                  <c:v>195.3</c:v>
                </c:pt>
                <c:pt idx="6">
                  <c:v>192.4</c:v>
                </c:pt>
                <c:pt idx="7">
                  <c:v>186.3</c:v>
                </c:pt>
                <c:pt idx="8">
                  <c:v>194.2</c:v>
                </c:pt>
                <c:pt idx="9">
                  <c:v>199</c:v>
                </c:pt>
                <c:pt idx="10">
                  <c:v>205.2</c:v>
                </c:pt>
                <c:pt idx="11">
                  <c:v>204.3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2AC-FD41-9057-0C3BC8071C9C}"/>
            </c:ext>
          </c:extLst>
        </c:ser>
        <c:ser>
          <c:idx val="1"/>
          <c:order val="1"/>
          <c:tx>
            <c:strRef>
              <c:f>Inputs!$E$12</c:f>
              <c:strCache>
                <c:ptCount val="1"/>
                <c:pt idx="0">
                  <c:v>2022</c:v>
                </c:pt>
              </c:strCache>
            </c:strRef>
          </c:tx>
          <c:spPr>
            <a:ln w="28575" cap="rnd">
              <a:gradFill flip="none" rotWithShape="1">
                <a:gsLst>
                  <a:gs pos="0">
                    <a:schemeClr val="accent2">
                      <a:lumMod val="67000"/>
                    </a:schemeClr>
                  </a:gs>
                  <a:gs pos="48000">
                    <a:schemeClr val="accent2">
                      <a:lumMod val="97000"/>
                      <a:lumOff val="3000"/>
                    </a:schemeClr>
                  </a:gs>
                  <a:gs pos="100000">
                    <a:schemeClr val="accent2">
                      <a:lumMod val="60000"/>
                      <a:lumOff val="40000"/>
                    </a:schemeClr>
                  </a:gs>
                </a:gsLst>
                <a:lin ang="16200000" scaled="1"/>
                <a:tileRect/>
              </a:gradFill>
              <a:round/>
            </a:ln>
            <a:effectLst/>
          </c:spPr>
          <c:marker>
            <c:symbol val="circle"/>
            <c:size val="5"/>
            <c:spPr>
              <a:solidFill>
                <a:schemeClr val="bg1"/>
              </a:solidFill>
              <a:ln w="12700">
                <a:solidFill>
                  <a:schemeClr val="accent1"/>
                </a:solidFill>
              </a:ln>
              <a:effectLst/>
            </c:spPr>
          </c:marker>
          <c:dLbls>
            <c:numFmt formatCode="\$0.00\ &quot;M&quot;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gradFill flip="none" rotWithShape="1">
                      <a:gsLst>
                        <a:gs pos="0">
                          <a:schemeClr val="accent2">
                            <a:lumMod val="67000"/>
                          </a:schemeClr>
                        </a:gs>
                        <a:gs pos="48000">
                          <a:schemeClr val="accent2">
                            <a:lumMod val="97000"/>
                            <a:lumOff val="3000"/>
                          </a:schemeClr>
                        </a:gs>
                        <a:gs pos="100000">
                          <a:schemeClr val="accent2">
                            <a:lumMod val="60000"/>
                            <a:lumOff val="40000"/>
                          </a:schemeClr>
                        </a:gs>
                      </a:gsLst>
                      <a:lin ang="16200000" scaled="1"/>
                      <a:tileRect/>
                    </a:gra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Inputs!$C$13:$C$24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Inputs!$E$13:$E$24</c:f>
              <c:numCache>
                <c:formatCode>\$\ 0.00\ "M"</c:formatCode>
                <c:ptCount val="12"/>
                <c:pt idx="0">
                  <c:v>215.3</c:v>
                </c:pt>
                <c:pt idx="1">
                  <c:v>217.6</c:v>
                </c:pt>
                <c:pt idx="2">
                  <c:v>220.1</c:v>
                </c:pt>
                <c:pt idx="3">
                  <c:v>206.4</c:v>
                </c:pt>
                <c:pt idx="4">
                  <c:v>204.3</c:v>
                </c:pt>
                <c:pt idx="5">
                  <c:v>203</c:v>
                </c:pt>
                <c:pt idx="6">
                  <c:v>201.5</c:v>
                </c:pt>
                <c:pt idx="7">
                  <c:v>200.6</c:v>
                </c:pt>
                <c:pt idx="8">
                  <c:v>210.6</c:v>
                </c:pt>
                <c:pt idx="9">
                  <c:v>216.4</c:v>
                </c:pt>
                <c:pt idx="10">
                  <c:v>222.3</c:v>
                </c:pt>
                <c:pt idx="11">
                  <c:v>225.8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2AC-FD41-9057-0C3BC8071C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30914208"/>
        <c:axId val="530915936"/>
      </c:lineChart>
      <c:catAx>
        <c:axId val="5309142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0915936"/>
        <c:crosses val="autoZero"/>
        <c:auto val="1"/>
        <c:lblAlgn val="ctr"/>
        <c:lblOffset val="100"/>
        <c:noMultiLvlLbl val="0"/>
      </c:catAx>
      <c:valAx>
        <c:axId val="530915936"/>
        <c:scaling>
          <c:orientation val="minMax"/>
          <c:min val="180"/>
        </c:scaling>
        <c:delete val="1"/>
        <c:axPos val="l"/>
        <c:numFmt formatCode="\$\ 0\ &quot;M&quot;" sourceLinked="0"/>
        <c:majorTickMark val="none"/>
        <c:minorTickMark val="none"/>
        <c:tickLblPos val="nextTo"/>
        <c:crossAx val="530914208"/>
        <c:crosses val="autoZero"/>
        <c:crossBetween val="between"/>
      </c:valAx>
      <c:spPr>
        <a:gradFill flip="none" rotWithShape="1">
          <a:gsLst>
            <a:gs pos="0">
              <a:schemeClr val="accent3">
                <a:lumMod val="5000"/>
                <a:lumOff val="95000"/>
              </a:schemeClr>
            </a:gs>
            <a:gs pos="74000">
              <a:schemeClr val="accent3">
                <a:lumMod val="45000"/>
                <a:lumOff val="55000"/>
              </a:schemeClr>
            </a:gs>
            <a:gs pos="83000">
              <a:schemeClr val="accent3">
                <a:lumMod val="45000"/>
                <a:lumOff val="55000"/>
              </a:schemeClr>
            </a:gs>
            <a:gs pos="100000">
              <a:schemeClr val="accent3">
                <a:lumMod val="30000"/>
                <a:lumOff val="70000"/>
              </a:schemeClr>
            </a:gs>
          </a:gsLst>
          <a:lin ang="5400000" scaled="1"/>
          <a:tileRect/>
        </a:gra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explosion val="2"/>
          <c:dPt>
            <c:idx val="0"/>
            <c:bubble3D val="0"/>
            <c:spPr>
              <a:gradFill flip="none" rotWithShape="1">
                <a:gsLst>
                  <a:gs pos="0">
                    <a:schemeClr val="accent1">
                      <a:lumMod val="67000"/>
                    </a:schemeClr>
                  </a:gs>
                  <a:gs pos="48000">
                    <a:schemeClr val="accent1">
                      <a:lumMod val="97000"/>
                      <a:lumOff val="3000"/>
                    </a:schemeClr>
                  </a:gs>
                  <a:gs pos="100000">
                    <a:schemeClr val="accent1">
                      <a:lumMod val="60000"/>
                      <a:lumOff val="40000"/>
                    </a:schemeClr>
                  </a:gs>
                </a:gsLst>
                <a:lin ang="16200000" scaled="1"/>
                <a:tileRect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8E88-E440-AF5F-D664F5BCA24C}"/>
              </c:ext>
            </c:extLst>
          </c:dPt>
          <c:dPt>
            <c:idx val="1"/>
            <c:bubble3D val="0"/>
            <c:spPr>
              <a:gradFill flip="none" rotWithShape="1">
                <a:gsLst>
                  <a:gs pos="0">
                    <a:schemeClr val="accent2">
                      <a:lumMod val="67000"/>
                    </a:schemeClr>
                  </a:gs>
                  <a:gs pos="48000">
                    <a:schemeClr val="accent2">
                      <a:lumMod val="97000"/>
                      <a:lumOff val="3000"/>
                    </a:schemeClr>
                  </a:gs>
                  <a:gs pos="100000">
                    <a:schemeClr val="accent2">
                      <a:lumMod val="60000"/>
                      <a:lumOff val="40000"/>
                    </a:schemeClr>
                  </a:gs>
                </a:gsLst>
                <a:lin ang="16200000" scaled="1"/>
                <a:tileRect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8E88-E440-AF5F-D664F5BCA24C}"/>
              </c:ext>
            </c:extLst>
          </c:dPt>
          <c:dLbls>
            <c:dLbl>
              <c:idx val="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8E88-E440-AF5F-D664F5BCA24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/>
            </c:extLst>
          </c:dLbls>
          <c:val>
            <c:numRef>
              <c:f>Inputs!$G$7:$G$8</c:f>
              <c:numCache>
                <c:formatCode>0%</c:formatCode>
                <c:ptCount val="2"/>
                <c:pt idx="0">
                  <c:v>0.89036499999999996</c:v>
                </c:pt>
                <c:pt idx="1">
                  <c:v>0.10963500000000004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E88-E440-AF5F-D664F5BCA2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0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explosion val="2"/>
          <c:dPt>
            <c:idx val="0"/>
            <c:bubble3D val="0"/>
            <c:spPr>
              <a:gradFill flip="none" rotWithShape="1">
                <a:gsLst>
                  <a:gs pos="0">
                    <a:schemeClr val="accent1">
                      <a:lumMod val="67000"/>
                    </a:schemeClr>
                  </a:gs>
                  <a:gs pos="48000">
                    <a:schemeClr val="accent1">
                      <a:lumMod val="97000"/>
                      <a:lumOff val="3000"/>
                    </a:schemeClr>
                  </a:gs>
                  <a:gs pos="100000">
                    <a:schemeClr val="accent1">
                      <a:lumMod val="60000"/>
                      <a:lumOff val="40000"/>
                    </a:schemeClr>
                  </a:gs>
                </a:gsLst>
                <a:lin ang="16200000" scaled="1"/>
                <a:tileRect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FB86-6E4C-BFE0-44099A22CBBF}"/>
              </c:ext>
            </c:extLst>
          </c:dPt>
          <c:dPt>
            <c:idx val="1"/>
            <c:bubble3D val="0"/>
            <c:spPr>
              <a:gradFill flip="none" rotWithShape="1">
                <a:gsLst>
                  <a:gs pos="0">
                    <a:schemeClr val="accent2">
                      <a:lumMod val="67000"/>
                    </a:schemeClr>
                  </a:gs>
                  <a:gs pos="48000">
                    <a:schemeClr val="accent2">
                      <a:lumMod val="97000"/>
                      <a:lumOff val="3000"/>
                    </a:schemeClr>
                  </a:gs>
                  <a:gs pos="100000">
                    <a:schemeClr val="accent2">
                      <a:lumMod val="60000"/>
                      <a:lumOff val="40000"/>
                    </a:schemeClr>
                  </a:gs>
                </a:gsLst>
                <a:lin ang="16200000" scaled="1"/>
                <a:tileRect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FB86-6E4C-BFE0-44099A22CBBF}"/>
              </c:ext>
            </c:extLst>
          </c:dPt>
          <c:dLbls>
            <c:dLbl>
              <c:idx val="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FB86-6E4C-BFE0-44099A22CBB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/>
            </c:extLst>
          </c:dLbls>
          <c:val>
            <c:numRef>
              <c:f>Inputs!$J$7:$J$8</c:f>
              <c:numCache>
                <c:formatCode>0%</c:formatCode>
                <c:ptCount val="2"/>
                <c:pt idx="0">
                  <c:v>0.87</c:v>
                </c:pt>
                <c:pt idx="1">
                  <c:v>0.13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B86-6E4C-BFE0-44099A22CB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0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explosion val="2"/>
          <c:dPt>
            <c:idx val="0"/>
            <c:bubble3D val="0"/>
            <c:spPr>
              <a:gradFill flip="none" rotWithShape="1">
                <a:gsLst>
                  <a:gs pos="0">
                    <a:schemeClr val="accent1">
                      <a:lumMod val="67000"/>
                    </a:schemeClr>
                  </a:gs>
                  <a:gs pos="48000">
                    <a:schemeClr val="accent1">
                      <a:lumMod val="97000"/>
                      <a:lumOff val="3000"/>
                    </a:schemeClr>
                  </a:gs>
                  <a:gs pos="100000">
                    <a:schemeClr val="accent1">
                      <a:lumMod val="60000"/>
                      <a:lumOff val="40000"/>
                    </a:schemeClr>
                  </a:gs>
                </a:gsLst>
                <a:lin ang="16200000" scaled="1"/>
                <a:tileRect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6ED7-E342-BA4D-AE1BC179924D}"/>
              </c:ext>
            </c:extLst>
          </c:dPt>
          <c:dPt>
            <c:idx val="1"/>
            <c:bubble3D val="0"/>
            <c:spPr>
              <a:gradFill flip="none" rotWithShape="1">
                <a:gsLst>
                  <a:gs pos="0">
                    <a:schemeClr val="accent2">
                      <a:lumMod val="67000"/>
                    </a:schemeClr>
                  </a:gs>
                  <a:gs pos="48000">
                    <a:schemeClr val="accent2">
                      <a:lumMod val="97000"/>
                      <a:lumOff val="3000"/>
                    </a:schemeClr>
                  </a:gs>
                  <a:gs pos="100000">
                    <a:schemeClr val="accent2">
                      <a:lumMod val="60000"/>
                      <a:lumOff val="40000"/>
                    </a:schemeClr>
                  </a:gs>
                </a:gsLst>
                <a:lin ang="16200000" scaled="1"/>
                <a:tileRect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6ED7-E342-BA4D-AE1BC179924D}"/>
              </c:ext>
            </c:extLst>
          </c:dPt>
          <c:dLbls>
            <c:dLbl>
              <c:idx val="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6ED7-E342-BA4D-AE1BC179924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/>
            </c:extLst>
          </c:dLbls>
          <c:val>
            <c:numRef>
              <c:f>Inputs!$D$7:$D$8</c:f>
              <c:numCache>
                <c:formatCode>0%</c:formatCode>
                <c:ptCount val="2"/>
                <c:pt idx="0">
                  <c:v>0.84796666666666665</c:v>
                </c:pt>
                <c:pt idx="1">
                  <c:v>0.15203333333333335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ED7-E342-BA4D-AE1BC17992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0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5.png"/><Relationship Id="rId13" Type="http://schemas.openxmlformats.org/officeDocument/2006/relationships/image" Target="../media/image10.svg"/><Relationship Id="rId18" Type="http://schemas.openxmlformats.org/officeDocument/2006/relationships/chart" Target="../charts/chart5.xml"/><Relationship Id="rId3" Type="http://schemas.openxmlformats.org/officeDocument/2006/relationships/image" Target="../media/image2.svg"/><Relationship Id="rId7" Type="http://schemas.openxmlformats.org/officeDocument/2006/relationships/hyperlink" Target="#Contacts!A1"/><Relationship Id="rId12" Type="http://schemas.openxmlformats.org/officeDocument/2006/relationships/image" Target="../media/image9.png"/><Relationship Id="rId17" Type="http://schemas.openxmlformats.org/officeDocument/2006/relationships/chart" Target="../charts/chart4.xml"/><Relationship Id="rId2" Type="http://schemas.openxmlformats.org/officeDocument/2006/relationships/image" Target="../media/image1.png"/><Relationship Id="rId16" Type="http://schemas.openxmlformats.org/officeDocument/2006/relationships/chart" Target="../charts/chart3.xml"/><Relationship Id="rId1" Type="http://schemas.openxmlformats.org/officeDocument/2006/relationships/hyperlink" Target="#Inputs!A1"/><Relationship Id="rId6" Type="http://schemas.openxmlformats.org/officeDocument/2006/relationships/image" Target="../media/image4.svg"/><Relationship Id="rId11" Type="http://schemas.openxmlformats.org/officeDocument/2006/relationships/image" Target="../media/image8.svg"/><Relationship Id="rId5" Type="http://schemas.openxmlformats.org/officeDocument/2006/relationships/image" Target="../media/image3.png"/><Relationship Id="rId15" Type="http://schemas.openxmlformats.org/officeDocument/2006/relationships/chart" Target="../charts/chart2.xml"/><Relationship Id="rId10" Type="http://schemas.openxmlformats.org/officeDocument/2006/relationships/image" Target="../media/image7.png"/><Relationship Id="rId4" Type="http://schemas.openxmlformats.org/officeDocument/2006/relationships/hyperlink" Target="#Dashboard!A1"/><Relationship Id="rId9" Type="http://schemas.openxmlformats.org/officeDocument/2006/relationships/image" Target="../media/image6.svg"/><Relationship Id="rId14" Type="http://schemas.openxmlformats.org/officeDocument/2006/relationships/chart" Target="../charts/chart1.xml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image" Target="../media/image5.png"/><Relationship Id="rId13" Type="http://schemas.openxmlformats.org/officeDocument/2006/relationships/image" Target="../media/image10.svg"/><Relationship Id="rId3" Type="http://schemas.openxmlformats.org/officeDocument/2006/relationships/image" Target="../media/image2.svg"/><Relationship Id="rId7" Type="http://schemas.openxmlformats.org/officeDocument/2006/relationships/hyperlink" Target="#Contacts!A1"/><Relationship Id="rId12" Type="http://schemas.openxmlformats.org/officeDocument/2006/relationships/image" Target="../media/image9.png"/><Relationship Id="rId2" Type="http://schemas.openxmlformats.org/officeDocument/2006/relationships/image" Target="../media/image1.png"/><Relationship Id="rId1" Type="http://schemas.openxmlformats.org/officeDocument/2006/relationships/hyperlink" Target="#Inputs!A1"/><Relationship Id="rId6" Type="http://schemas.openxmlformats.org/officeDocument/2006/relationships/image" Target="../media/image4.svg"/><Relationship Id="rId11" Type="http://schemas.openxmlformats.org/officeDocument/2006/relationships/image" Target="../media/image8.svg"/><Relationship Id="rId5" Type="http://schemas.openxmlformats.org/officeDocument/2006/relationships/image" Target="../media/image3.png"/><Relationship Id="rId10" Type="http://schemas.openxmlformats.org/officeDocument/2006/relationships/image" Target="../media/image7.png"/><Relationship Id="rId4" Type="http://schemas.openxmlformats.org/officeDocument/2006/relationships/hyperlink" Target="#Dashboard!A1"/><Relationship Id="rId9" Type="http://schemas.openxmlformats.org/officeDocument/2006/relationships/image" Target="../media/image6.sv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182879</xdr:colOff>
      <xdr:row>8</xdr:row>
      <xdr:rowOff>110005</xdr:rowOff>
    </xdr:from>
    <xdr:to>
      <xdr:col>0</xdr:col>
      <xdr:colOff>646854</xdr:colOff>
      <xdr:row>10</xdr:row>
      <xdr:rowOff>171814</xdr:rowOff>
    </xdr:to>
    <xdr:pic>
      <xdr:nvPicPr>
        <xdr:cNvPr id="3" name="Graphic 2" descr="Table with solid fil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5CB3B72-64CC-2DE6-CDBD-70F9B4FD46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"/>
            </a:ext>
          </a:extLst>
        </a:blip>
        <a:srcRect/>
        <a:stretch/>
      </xdr:blipFill>
      <xdr:spPr>
        <a:xfrm>
          <a:off x="182879" y="1706576"/>
          <a:ext cx="463975" cy="460952"/>
        </a:xfrm>
        <a:prstGeom prst="rect">
          <a:avLst/>
        </a:prstGeom>
      </xdr:spPr>
    </xdr:pic>
    <xdr:clientData/>
  </xdr:twoCellAnchor>
  <xdr:twoCellAnchor editAs="oneCell">
    <xdr:from>
      <xdr:col>0</xdr:col>
      <xdr:colOff>185569</xdr:colOff>
      <xdr:row>5</xdr:row>
      <xdr:rowOff>75630</xdr:rowOff>
    </xdr:from>
    <xdr:to>
      <xdr:col>0</xdr:col>
      <xdr:colOff>654801</xdr:colOff>
      <xdr:row>7</xdr:row>
      <xdr:rowOff>138753</xdr:rowOff>
    </xdr:to>
    <xdr:pic>
      <xdr:nvPicPr>
        <xdr:cNvPr id="5" name="Graphic 4" descr="Presentation with pie chart with solid fill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D01A2EF3-BC44-E680-3108-A9F85AB398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185569" y="1073487"/>
          <a:ext cx="469232" cy="462266"/>
        </a:xfrm>
        <a:prstGeom prst="rect">
          <a:avLst/>
        </a:prstGeom>
      </xdr:spPr>
    </xdr:pic>
    <xdr:clientData/>
  </xdr:twoCellAnchor>
  <xdr:twoCellAnchor editAs="oneCell">
    <xdr:from>
      <xdr:col>0</xdr:col>
      <xdr:colOff>164402</xdr:colOff>
      <xdr:row>11</xdr:row>
      <xdr:rowOff>163829</xdr:rowOff>
    </xdr:from>
    <xdr:to>
      <xdr:col>0</xdr:col>
      <xdr:colOff>633634</xdr:colOff>
      <xdr:row>14</xdr:row>
      <xdr:rowOff>24554</xdr:rowOff>
    </xdr:to>
    <xdr:pic>
      <xdr:nvPicPr>
        <xdr:cNvPr id="7" name="Graphic 6" descr="Envelope with solid fill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7ABC13E7-7206-1C4E-E33B-11057ED8DB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9"/>
            </a:ext>
          </a:extLst>
        </a:blip>
        <a:stretch>
          <a:fillRect/>
        </a:stretch>
      </xdr:blipFill>
      <xdr:spPr>
        <a:xfrm>
          <a:off x="164402" y="2375746"/>
          <a:ext cx="469232" cy="463975"/>
        </a:xfrm>
        <a:prstGeom prst="rect">
          <a:avLst/>
        </a:prstGeom>
      </xdr:spPr>
    </xdr:pic>
    <xdr:clientData/>
  </xdr:twoCellAnchor>
  <xdr:twoCellAnchor editAs="oneCell">
    <xdr:from>
      <xdr:col>0</xdr:col>
      <xdr:colOff>99787</xdr:colOff>
      <xdr:row>1</xdr:row>
      <xdr:rowOff>9071</xdr:rowOff>
    </xdr:from>
    <xdr:to>
      <xdr:col>0</xdr:col>
      <xdr:colOff>743860</xdr:colOff>
      <xdr:row>4</xdr:row>
      <xdr:rowOff>39830</xdr:rowOff>
    </xdr:to>
    <xdr:pic>
      <xdr:nvPicPr>
        <xdr:cNvPr id="15" name="Graphic 14">
          <a:extLst>
            <a:ext uri="{FF2B5EF4-FFF2-40B4-BE49-F238E27FC236}">
              <a16:creationId xmlns:a16="http://schemas.microsoft.com/office/drawing/2014/main" id="{CA0A78F9-3C82-4285-418F-AF30BE9404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96DAC541-7B7A-43D3-8B79-37D633B846F1}">
              <asvg:svgBlip xmlns:asvg="http://schemas.microsoft.com/office/drawing/2016/SVG/main" r:embed="rId11"/>
            </a:ext>
          </a:extLst>
        </a:blip>
        <a:stretch>
          <a:fillRect/>
        </a:stretch>
      </xdr:blipFill>
      <xdr:spPr>
        <a:xfrm>
          <a:off x="99787" y="208642"/>
          <a:ext cx="644073" cy="629474"/>
        </a:xfrm>
        <a:prstGeom prst="rect">
          <a:avLst/>
        </a:prstGeom>
      </xdr:spPr>
    </xdr:pic>
    <xdr:clientData/>
  </xdr:twoCellAnchor>
  <xdr:twoCellAnchor editAs="oneCell">
    <xdr:from>
      <xdr:col>0</xdr:col>
      <xdr:colOff>205740</xdr:colOff>
      <xdr:row>15</xdr:row>
      <xdr:rowOff>30480</xdr:rowOff>
    </xdr:from>
    <xdr:to>
      <xdr:col>0</xdr:col>
      <xdr:colOff>581844</xdr:colOff>
      <xdr:row>17</xdr:row>
      <xdr:rowOff>10344</xdr:rowOff>
    </xdr:to>
    <xdr:pic>
      <xdr:nvPicPr>
        <xdr:cNvPr id="16" name="Graphic 15" descr="Question Mark with solid fill">
          <a:extLst>
            <a:ext uri="{FF2B5EF4-FFF2-40B4-BE49-F238E27FC236}">
              <a16:creationId xmlns:a16="http://schemas.microsoft.com/office/drawing/2014/main" id="{9AE1C702-A456-442D-AB92-5ECBF23363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3"/>
            </a:ext>
          </a:extLst>
        </a:blip>
        <a:srcRect/>
        <a:stretch/>
      </xdr:blipFill>
      <xdr:spPr>
        <a:xfrm>
          <a:off x="205740" y="3002280"/>
          <a:ext cx="376104" cy="376104"/>
        </a:xfrm>
        <a:prstGeom prst="rect">
          <a:avLst/>
        </a:prstGeom>
      </xdr:spPr>
    </xdr:pic>
    <xdr:clientData/>
  </xdr:twoCellAnchor>
  <xdr:twoCellAnchor>
    <xdr:from>
      <xdr:col>1</xdr:col>
      <xdr:colOff>122767</xdr:colOff>
      <xdr:row>0</xdr:row>
      <xdr:rowOff>88899</xdr:rowOff>
    </xdr:from>
    <xdr:to>
      <xdr:col>13</xdr:col>
      <xdr:colOff>812801</xdr:colOff>
      <xdr:row>4</xdr:row>
      <xdr:rowOff>139699</xdr:rowOff>
    </xdr:to>
    <xdr:sp macro="" textlink="">
      <xdr:nvSpPr>
        <xdr:cNvPr id="2" name="Rounded Rectangle 1">
          <a:extLst>
            <a:ext uri="{FF2B5EF4-FFF2-40B4-BE49-F238E27FC236}">
              <a16:creationId xmlns:a16="http://schemas.microsoft.com/office/drawing/2014/main" id="{F1574D16-D896-0961-770F-ECDBCC2FCCC9}"/>
            </a:ext>
          </a:extLst>
        </xdr:cNvPr>
        <xdr:cNvSpPr/>
      </xdr:nvSpPr>
      <xdr:spPr>
        <a:xfrm>
          <a:off x="948267" y="88899"/>
          <a:ext cx="10596034" cy="863600"/>
        </a:xfrm>
        <a:prstGeom prst="roundRect">
          <a:avLst>
            <a:gd name="adj" fmla="val 4902"/>
          </a:avLst>
        </a:prstGeom>
        <a:solidFill>
          <a:schemeClr val="bg1"/>
        </a:solidFill>
        <a:ln>
          <a:noFill/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GB" sz="2800" b="1">
              <a:solidFill>
                <a:schemeClr val="tx1"/>
              </a:solidFill>
            </a:rPr>
            <a:t>Sales Dashboard South America 2022</a:t>
          </a:r>
        </a:p>
        <a:p>
          <a:pPr algn="l"/>
          <a:r>
            <a:rPr lang="en-GB" sz="1800" b="0" i="1">
              <a:solidFill>
                <a:schemeClr val="bg2">
                  <a:lumMod val="50000"/>
                </a:schemeClr>
              </a:solidFill>
            </a:rPr>
            <a:t>Figures in Million</a:t>
          </a:r>
          <a:r>
            <a:rPr lang="en-GB" sz="1800" b="0" i="1" baseline="0">
              <a:solidFill>
                <a:schemeClr val="bg2">
                  <a:lumMod val="50000"/>
                </a:schemeClr>
              </a:solidFill>
            </a:rPr>
            <a:t> of U$D</a:t>
          </a:r>
          <a:endParaRPr lang="en-GB" sz="1800" b="0" i="1">
            <a:solidFill>
              <a:schemeClr val="bg2">
                <a:lumMod val="50000"/>
              </a:schemeClr>
            </a:solidFill>
          </a:endParaRPr>
        </a:p>
      </xdr:txBody>
    </xdr:sp>
    <xdr:clientData/>
  </xdr:twoCellAnchor>
  <xdr:twoCellAnchor>
    <xdr:from>
      <xdr:col>1</xdr:col>
      <xdr:colOff>122767</xdr:colOff>
      <xdr:row>5</xdr:row>
      <xdr:rowOff>67733</xdr:rowOff>
    </xdr:from>
    <xdr:to>
      <xdr:col>5</xdr:col>
      <xdr:colOff>190501</xdr:colOff>
      <xdr:row>12</xdr:row>
      <xdr:rowOff>16933</xdr:rowOff>
    </xdr:to>
    <xdr:sp macro="" textlink="">
      <xdr:nvSpPr>
        <xdr:cNvPr id="4" name="Rounded Rectangle 3">
          <a:extLst>
            <a:ext uri="{FF2B5EF4-FFF2-40B4-BE49-F238E27FC236}">
              <a16:creationId xmlns:a16="http://schemas.microsoft.com/office/drawing/2014/main" id="{F9AA7D7B-8113-A2F0-424F-D6E8AC5E9056}"/>
            </a:ext>
          </a:extLst>
        </xdr:cNvPr>
        <xdr:cNvSpPr/>
      </xdr:nvSpPr>
      <xdr:spPr>
        <a:xfrm>
          <a:off x="948267" y="1083733"/>
          <a:ext cx="3369734" cy="1371600"/>
        </a:xfrm>
        <a:prstGeom prst="roundRect">
          <a:avLst>
            <a:gd name="adj" fmla="val 4902"/>
          </a:avLst>
        </a:prstGeom>
        <a:solidFill>
          <a:schemeClr val="bg1"/>
        </a:solidFill>
        <a:ln>
          <a:noFill/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GB" sz="2000" b="1" u="sng">
              <a:solidFill>
                <a:schemeClr val="tx1"/>
              </a:solidFill>
            </a:rPr>
            <a:t>Sales</a:t>
          </a:r>
          <a:endParaRPr lang="en-GB" sz="1600" b="1" u="sng">
            <a:solidFill>
              <a:schemeClr val="tx1"/>
            </a:solidFill>
          </a:endParaRPr>
        </a:p>
      </xdr:txBody>
    </xdr:sp>
    <xdr:clientData/>
  </xdr:twoCellAnchor>
  <xdr:twoCellAnchor>
    <xdr:from>
      <xdr:col>5</xdr:col>
      <xdr:colOff>372532</xdr:colOff>
      <xdr:row>5</xdr:row>
      <xdr:rowOff>76200</xdr:rowOff>
    </xdr:from>
    <xdr:to>
      <xdr:col>9</xdr:col>
      <xdr:colOff>469900</xdr:colOff>
      <xdr:row>12</xdr:row>
      <xdr:rowOff>25400</xdr:rowOff>
    </xdr:to>
    <xdr:sp macro="" textlink="">
      <xdr:nvSpPr>
        <xdr:cNvPr id="6" name="Rounded Rectangle 5">
          <a:extLst>
            <a:ext uri="{FF2B5EF4-FFF2-40B4-BE49-F238E27FC236}">
              <a16:creationId xmlns:a16="http://schemas.microsoft.com/office/drawing/2014/main" id="{2C9B7CA7-6093-BC54-064A-98A98E8C0DCE}"/>
            </a:ext>
          </a:extLst>
        </xdr:cNvPr>
        <xdr:cNvSpPr/>
      </xdr:nvSpPr>
      <xdr:spPr>
        <a:xfrm>
          <a:off x="4500032" y="1092200"/>
          <a:ext cx="3399368" cy="1371600"/>
        </a:xfrm>
        <a:prstGeom prst="roundRect">
          <a:avLst>
            <a:gd name="adj" fmla="val 4902"/>
          </a:avLst>
        </a:prstGeom>
        <a:solidFill>
          <a:schemeClr val="bg1"/>
        </a:solidFill>
        <a:ln>
          <a:noFill/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GB" sz="2000" b="1" u="sng">
              <a:solidFill>
                <a:schemeClr val="tx1"/>
              </a:solidFill>
              <a:latin typeface="+mn-lt"/>
              <a:ea typeface="+mn-ea"/>
              <a:cs typeface="+mn-cs"/>
            </a:rPr>
            <a:t>Profit</a:t>
          </a:r>
        </a:p>
      </xdr:txBody>
    </xdr:sp>
    <xdr:clientData/>
  </xdr:twoCellAnchor>
  <xdr:twoCellAnchor>
    <xdr:from>
      <xdr:col>9</xdr:col>
      <xdr:colOff>643467</xdr:colOff>
      <xdr:row>5</xdr:row>
      <xdr:rowOff>67733</xdr:rowOff>
    </xdr:from>
    <xdr:to>
      <xdr:col>14</xdr:col>
      <xdr:colOff>0</xdr:colOff>
      <xdr:row>12</xdr:row>
      <xdr:rowOff>16933</xdr:rowOff>
    </xdr:to>
    <xdr:sp macro="" textlink="">
      <xdr:nvSpPr>
        <xdr:cNvPr id="8" name="Rounded Rectangle 7">
          <a:extLst>
            <a:ext uri="{FF2B5EF4-FFF2-40B4-BE49-F238E27FC236}">
              <a16:creationId xmlns:a16="http://schemas.microsoft.com/office/drawing/2014/main" id="{69E79B39-1BFE-8D45-A0EA-487C2F9E6ED6}"/>
            </a:ext>
          </a:extLst>
        </xdr:cNvPr>
        <xdr:cNvSpPr/>
      </xdr:nvSpPr>
      <xdr:spPr>
        <a:xfrm>
          <a:off x="8072967" y="1083733"/>
          <a:ext cx="3484033" cy="1371600"/>
        </a:xfrm>
        <a:prstGeom prst="roundRect">
          <a:avLst>
            <a:gd name="adj" fmla="val 4902"/>
          </a:avLst>
        </a:prstGeom>
        <a:solidFill>
          <a:schemeClr val="bg1"/>
        </a:solidFill>
        <a:ln>
          <a:noFill/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GB" sz="2000" b="1" u="sng">
              <a:solidFill>
                <a:schemeClr val="tx1"/>
              </a:solidFill>
            </a:rPr>
            <a:t># of </a:t>
          </a:r>
          <a:r>
            <a:rPr lang="en-GB" sz="2000" b="1" u="sng">
              <a:solidFill>
                <a:schemeClr val="tx1"/>
              </a:solidFill>
              <a:latin typeface="+mn-lt"/>
              <a:ea typeface="+mn-ea"/>
              <a:cs typeface="+mn-cs"/>
            </a:rPr>
            <a:t>Customers</a:t>
          </a:r>
        </a:p>
      </xdr:txBody>
    </xdr:sp>
    <xdr:clientData/>
  </xdr:twoCellAnchor>
  <xdr:twoCellAnchor>
    <xdr:from>
      <xdr:col>1</xdr:col>
      <xdr:colOff>122767</xdr:colOff>
      <xdr:row>13</xdr:row>
      <xdr:rowOff>0</xdr:rowOff>
    </xdr:from>
    <xdr:to>
      <xdr:col>9</xdr:col>
      <xdr:colOff>469901</xdr:colOff>
      <xdr:row>28</xdr:row>
      <xdr:rowOff>50800</xdr:rowOff>
    </xdr:to>
    <xdr:sp macro="" textlink="">
      <xdr:nvSpPr>
        <xdr:cNvPr id="9" name="Rounded Rectangle 8">
          <a:extLst>
            <a:ext uri="{FF2B5EF4-FFF2-40B4-BE49-F238E27FC236}">
              <a16:creationId xmlns:a16="http://schemas.microsoft.com/office/drawing/2014/main" id="{F041635B-9AD3-039A-9929-FE7F1CE40A9B}"/>
            </a:ext>
          </a:extLst>
        </xdr:cNvPr>
        <xdr:cNvSpPr/>
      </xdr:nvSpPr>
      <xdr:spPr>
        <a:xfrm>
          <a:off x="948267" y="2641600"/>
          <a:ext cx="6951134" cy="3098800"/>
        </a:xfrm>
        <a:prstGeom prst="roundRect">
          <a:avLst>
            <a:gd name="adj" fmla="val 4902"/>
          </a:avLst>
        </a:prstGeom>
        <a:solidFill>
          <a:schemeClr val="bg1"/>
        </a:solidFill>
        <a:ln>
          <a:noFill/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GB" sz="2000" b="1">
              <a:solidFill>
                <a:schemeClr val="tx1"/>
              </a:solidFill>
              <a:latin typeface="+mn-lt"/>
              <a:ea typeface="+mn-ea"/>
              <a:cs typeface="+mn-cs"/>
            </a:rPr>
            <a:t>2021-2022</a:t>
          </a:r>
          <a:r>
            <a:rPr lang="en-GB" sz="1400" b="1">
              <a:solidFill>
                <a:schemeClr val="tx1"/>
              </a:solidFill>
            </a:rPr>
            <a:t> </a:t>
          </a:r>
          <a:r>
            <a:rPr lang="en-GB" sz="2000" b="1">
              <a:solidFill>
                <a:schemeClr val="tx1"/>
              </a:solidFill>
            </a:rPr>
            <a:t>Sales Trend</a:t>
          </a:r>
          <a:r>
            <a:rPr lang="en-GB" sz="2000" b="1" baseline="0">
              <a:solidFill>
                <a:schemeClr val="tx1"/>
              </a:solidFill>
            </a:rPr>
            <a:t> (in millions)</a:t>
          </a:r>
          <a:endParaRPr lang="en-GB" sz="1400" b="1">
            <a:solidFill>
              <a:schemeClr val="tx1"/>
            </a:solidFill>
          </a:endParaRPr>
        </a:p>
      </xdr:txBody>
    </xdr:sp>
    <xdr:clientData/>
  </xdr:twoCellAnchor>
  <xdr:twoCellAnchor>
    <xdr:from>
      <xdr:col>9</xdr:col>
      <xdr:colOff>643467</xdr:colOff>
      <xdr:row>12</xdr:row>
      <xdr:rowOff>179916</xdr:rowOff>
    </xdr:from>
    <xdr:to>
      <xdr:col>14</xdr:col>
      <xdr:colOff>0</xdr:colOff>
      <xdr:row>28</xdr:row>
      <xdr:rowOff>42333</xdr:rowOff>
    </xdr:to>
    <xdr:sp macro="" textlink="">
      <xdr:nvSpPr>
        <xdr:cNvPr id="10" name="Rounded Rectangle 9">
          <a:extLst>
            <a:ext uri="{FF2B5EF4-FFF2-40B4-BE49-F238E27FC236}">
              <a16:creationId xmlns:a16="http://schemas.microsoft.com/office/drawing/2014/main" id="{9B279635-F45B-E427-6C46-963AB7DD6481}"/>
            </a:ext>
          </a:extLst>
        </xdr:cNvPr>
        <xdr:cNvSpPr/>
      </xdr:nvSpPr>
      <xdr:spPr>
        <a:xfrm>
          <a:off x="8072967" y="2618316"/>
          <a:ext cx="3484033" cy="3113617"/>
        </a:xfrm>
        <a:prstGeom prst="roundRect">
          <a:avLst>
            <a:gd name="adj" fmla="val 4902"/>
          </a:avLst>
        </a:prstGeom>
        <a:solidFill>
          <a:schemeClr val="bg1"/>
        </a:solidFill>
        <a:ln>
          <a:noFill/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GB" sz="2000" b="1">
              <a:solidFill>
                <a:schemeClr val="tx1"/>
              </a:solidFill>
            </a:rPr>
            <a:t>Customer Satisfaction</a:t>
          </a:r>
        </a:p>
      </xdr:txBody>
    </xdr:sp>
    <xdr:clientData/>
  </xdr:twoCellAnchor>
  <xdr:twoCellAnchor>
    <xdr:from>
      <xdr:col>9</xdr:col>
      <xdr:colOff>438727</xdr:colOff>
      <xdr:row>15</xdr:row>
      <xdr:rowOff>46182</xdr:rowOff>
    </xdr:from>
    <xdr:to>
      <xdr:col>14</xdr:col>
      <xdr:colOff>0</xdr:colOff>
      <xdr:row>28</xdr:row>
      <xdr:rowOff>80817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292DCD6C-7CF5-994D-B860-1CFCB56DF51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1</xdr:col>
      <xdr:colOff>116994</xdr:colOff>
      <xdr:row>14</xdr:row>
      <xdr:rowOff>189537</xdr:rowOff>
    </xdr:from>
    <xdr:to>
      <xdr:col>9</xdr:col>
      <xdr:colOff>461818</xdr:colOff>
      <xdr:row>28</xdr:row>
      <xdr:rowOff>69273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1A119E0C-C30E-4045-923D-A11B1C8F912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1</xdr:col>
      <xdr:colOff>126999</xdr:colOff>
      <xdr:row>7</xdr:row>
      <xdr:rowOff>80819</xdr:rowOff>
    </xdr:from>
    <xdr:to>
      <xdr:col>3</xdr:col>
      <xdr:colOff>738909</xdr:colOff>
      <xdr:row>11</xdr:row>
      <xdr:rowOff>92364</xdr:rowOff>
    </xdr:to>
    <xdr:sp macro="" textlink="Inputs!D5">
      <xdr:nvSpPr>
        <xdr:cNvPr id="18" name="TextBox 17">
          <a:extLst>
            <a:ext uri="{FF2B5EF4-FFF2-40B4-BE49-F238E27FC236}">
              <a16:creationId xmlns:a16="http://schemas.microsoft.com/office/drawing/2014/main" id="{0503BB3F-F6D3-39A6-F109-CC3785A1033F}"/>
            </a:ext>
          </a:extLst>
        </xdr:cNvPr>
        <xdr:cNvSpPr txBox="1"/>
      </xdr:nvSpPr>
      <xdr:spPr>
        <a:xfrm>
          <a:off x="958272" y="1535546"/>
          <a:ext cx="2274455" cy="84281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fld id="{0C3BDC24-E770-6E4D-A566-F239D4D32150}" type="TxLink">
            <a:rPr lang="en-US" sz="4000" b="0" i="0" u="none" strike="noStrike">
              <a:solidFill>
                <a:srgbClr val="000000"/>
              </a:solidFill>
              <a:latin typeface="Calibri"/>
              <a:cs typeface="Calibri"/>
            </a:rPr>
            <a:pPr algn="l"/>
            <a:t> $2,544 </a:t>
          </a:fld>
          <a:endParaRPr lang="en-GB" sz="3600"/>
        </a:p>
      </xdr:txBody>
    </xdr:sp>
    <xdr:clientData/>
  </xdr:twoCellAnchor>
  <xdr:twoCellAnchor>
    <xdr:from>
      <xdr:col>5</xdr:col>
      <xdr:colOff>381000</xdr:colOff>
      <xdr:row>7</xdr:row>
      <xdr:rowOff>80819</xdr:rowOff>
    </xdr:from>
    <xdr:to>
      <xdr:col>8</xdr:col>
      <xdr:colOff>161637</xdr:colOff>
      <xdr:row>11</xdr:row>
      <xdr:rowOff>92364</xdr:rowOff>
    </xdr:to>
    <xdr:sp macro="" textlink="Inputs!G5">
      <xdr:nvSpPr>
        <xdr:cNvPr id="22" name="TextBox 21">
          <a:extLst>
            <a:ext uri="{FF2B5EF4-FFF2-40B4-BE49-F238E27FC236}">
              <a16:creationId xmlns:a16="http://schemas.microsoft.com/office/drawing/2014/main" id="{80071483-99F9-DB23-356E-1FE7DA9AF17C}"/>
            </a:ext>
          </a:extLst>
        </xdr:cNvPr>
        <xdr:cNvSpPr txBox="1"/>
      </xdr:nvSpPr>
      <xdr:spPr>
        <a:xfrm>
          <a:off x="4537364" y="1535546"/>
          <a:ext cx="2274455" cy="84281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l"/>
          <a:fld id="{EAE74985-CC93-0B46-AC9E-8B93FF063B66}" type="TxLink">
            <a:rPr lang="en-US" sz="4000" b="0" i="0" u="none" strike="noStrike">
              <a:solidFill>
                <a:srgbClr val="000000"/>
              </a:solidFill>
              <a:latin typeface="Calibri"/>
              <a:ea typeface="+mn-ea"/>
              <a:cs typeface="Calibri"/>
            </a:rPr>
            <a:pPr marL="0" indent="0" algn="l"/>
            <a:t> $890 </a:t>
          </a:fld>
          <a:endParaRPr lang="en-GB" sz="4000" b="0" i="0" u="none" strike="noStrike">
            <a:solidFill>
              <a:srgbClr val="000000"/>
            </a:solidFill>
            <a:latin typeface="Calibri"/>
            <a:ea typeface="+mn-ea"/>
            <a:cs typeface="Calibri"/>
          </a:endParaRPr>
        </a:p>
      </xdr:txBody>
    </xdr:sp>
    <xdr:clientData/>
  </xdr:twoCellAnchor>
  <xdr:twoCellAnchor>
    <xdr:from>
      <xdr:col>9</xdr:col>
      <xdr:colOff>634999</xdr:colOff>
      <xdr:row>7</xdr:row>
      <xdr:rowOff>80819</xdr:rowOff>
    </xdr:from>
    <xdr:to>
      <xdr:col>12</xdr:col>
      <xdr:colOff>415636</xdr:colOff>
      <xdr:row>11</xdr:row>
      <xdr:rowOff>92364</xdr:rowOff>
    </xdr:to>
    <xdr:sp macro="" textlink="Inputs!J5">
      <xdr:nvSpPr>
        <xdr:cNvPr id="23" name="TextBox 22">
          <a:extLst>
            <a:ext uri="{FF2B5EF4-FFF2-40B4-BE49-F238E27FC236}">
              <a16:creationId xmlns:a16="http://schemas.microsoft.com/office/drawing/2014/main" id="{5CB246C9-E10E-5670-930B-7FE5BE68A472}"/>
            </a:ext>
          </a:extLst>
        </xdr:cNvPr>
        <xdr:cNvSpPr txBox="1"/>
      </xdr:nvSpPr>
      <xdr:spPr>
        <a:xfrm>
          <a:off x="8116454" y="1535546"/>
          <a:ext cx="2274455" cy="84281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l"/>
          <a:fld id="{E55A99AA-E98E-E543-A8DB-0A2A3397C795}" type="TxLink">
            <a:rPr lang="en-US" sz="4000" b="0" i="0" u="none" strike="noStrike">
              <a:solidFill>
                <a:srgbClr val="000000"/>
              </a:solidFill>
              <a:latin typeface="Calibri"/>
              <a:ea typeface="+mn-ea"/>
              <a:cs typeface="Calibri"/>
            </a:rPr>
            <a:pPr marL="0" indent="0" algn="l"/>
            <a:t> 87.0 </a:t>
          </a:fld>
          <a:endParaRPr lang="en-GB" sz="4000" b="0" i="0" u="none" strike="noStrike">
            <a:solidFill>
              <a:srgbClr val="000000"/>
            </a:solidFill>
            <a:latin typeface="Calibri"/>
            <a:ea typeface="+mn-ea"/>
            <a:cs typeface="Calibri"/>
          </a:endParaRPr>
        </a:p>
      </xdr:txBody>
    </xdr:sp>
    <xdr:clientData/>
  </xdr:twoCellAnchor>
  <xdr:twoCellAnchor>
    <xdr:from>
      <xdr:col>6</xdr:col>
      <xdr:colOff>673484</xdr:colOff>
      <xdr:row>4</xdr:row>
      <xdr:rowOff>69272</xdr:rowOff>
    </xdr:from>
    <xdr:to>
      <xdr:col>10</xdr:col>
      <xdr:colOff>461818</xdr:colOff>
      <xdr:row>13</xdr:row>
      <xdr:rowOff>11545</xdr:rowOff>
    </xdr:to>
    <xdr:graphicFrame macro="">
      <xdr:nvGraphicFramePr>
        <xdr:cNvPr id="24" name="Chart 23">
          <a:extLst>
            <a:ext uri="{FF2B5EF4-FFF2-40B4-BE49-F238E27FC236}">
              <a16:creationId xmlns:a16="http://schemas.microsoft.com/office/drawing/2014/main" id="{85E814AC-56D6-004C-A0A7-D382F489EE2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11</xdr:col>
      <xdr:colOff>196273</xdr:colOff>
      <xdr:row>4</xdr:row>
      <xdr:rowOff>57726</xdr:rowOff>
    </xdr:from>
    <xdr:to>
      <xdr:col>15</xdr:col>
      <xdr:colOff>23091</xdr:colOff>
      <xdr:row>13</xdr:row>
      <xdr:rowOff>11545</xdr:rowOff>
    </xdr:to>
    <xdr:graphicFrame macro="">
      <xdr:nvGraphicFramePr>
        <xdr:cNvPr id="25" name="Chart 24">
          <a:extLst>
            <a:ext uri="{FF2B5EF4-FFF2-40B4-BE49-F238E27FC236}">
              <a16:creationId xmlns:a16="http://schemas.microsoft.com/office/drawing/2014/main" id="{7E547FA3-30F5-4440-8ED9-3696904661C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2</xdr:col>
      <xdr:colOff>357910</xdr:colOff>
      <xdr:row>4</xdr:row>
      <xdr:rowOff>80819</xdr:rowOff>
    </xdr:from>
    <xdr:to>
      <xdr:col>6</xdr:col>
      <xdr:colOff>288637</xdr:colOff>
      <xdr:row>12</xdr:row>
      <xdr:rowOff>196274</xdr:rowOff>
    </xdr:to>
    <xdr:graphicFrame macro="">
      <xdr:nvGraphicFramePr>
        <xdr:cNvPr id="26" name="Chart 25">
          <a:extLst>
            <a:ext uri="{FF2B5EF4-FFF2-40B4-BE49-F238E27FC236}">
              <a16:creationId xmlns:a16="http://schemas.microsoft.com/office/drawing/2014/main" id="{1CC6970E-B386-BB47-B6AD-877DFC0AC73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0.38429</cdr:x>
      <cdr:y>0.41221</cdr:y>
    </cdr:from>
    <cdr:to>
      <cdr:x>0.6242</cdr:x>
      <cdr:y>0.59542</cdr:y>
    </cdr:to>
    <cdr:sp macro="" textlink="Inputs!$G$7">
      <cdr:nvSpPr>
        <cdr:cNvPr id="2" name="TextBox 11">
          <a:extLst xmlns:a="http://schemas.openxmlformats.org/drawingml/2006/main">
            <a:ext uri="{FF2B5EF4-FFF2-40B4-BE49-F238E27FC236}">
              <a16:creationId xmlns:a16="http://schemas.microsoft.com/office/drawing/2014/main" id="{CB7CACF4-731E-6581-9D73-0799C9046078}"/>
            </a:ext>
          </a:extLst>
        </cdr:cNvPr>
        <cdr:cNvSpPr txBox="1"/>
      </cdr:nvSpPr>
      <cdr:spPr>
        <a:xfrm xmlns:a="http://schemas.openxmlformats.org/drawingml/2006/main">
          <a:off x="2298700" y="1371600"/>
          <a:ext cx="1435100" cy="609600"/>
        </a:xfrm>
        <a:prstGeom xmlns:a="http://schemas.openxmlformats.org/drawingml/2006/main" prst="rect">
          <a:avLst/>
        </a:prstGeom>
        <a:noFill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square" rtlCol="0" anchor="ctr">
          <a:noAutofit/>
        </a:bodyPr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83CD9C34-8003-2049-91A5-6B973B75C463}" type="TxLink">
            <a:rPr lang="en-US" sz="2400" b="1" i="0" u="none" strike="noStrike">
              <a:solidFill>
                <a:srgbClr val="000000"/>
              </a:solidFill>
              <a:latin typeface="Calibri"/>
              <a:cs typeface="Calibri"/>
            </a:rPr>
            <a:pPr algn="ctr"/>
            <a:t>89%</a:t>
          </a:fld>
          <a:endParaRPr lang="en-GB" sz="4000" b="1"/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0.38429</cdr:x>
      <cdr:y>0.41221</cdr:y>
    </cdr:from>
    <cdr:to>
      <cdr:x>0.6242</cdr:x>
      <cdr:y>0.59542</cdr:y>
    </cdr:to>
    <cdr:sp macro="" textlink="Inputs!$J$7">
      <cdr:nvSpPr>
        <cdr:cNvPr id="2" name="TextBox 11">
          <a:extLst xmlns:a="http://schemas.openxmlformats.org/drawingml/2006/main">
            <a:ext uri="{FF2B5EF4-FFF2-40B4-BE49-F238E27FC236}">
              <a16:creationId xmlns:a16="http://schemas.microsoft.com/office/drawing/2014/main" id="{CB7CACF4-731E-6581-9D73-0799C9046078}"/>
            </a:ext>
          </a:extLst>
        </cdr:cNvPr>
        <cdr:cNvSpPr txBox="1"/>
      </cdr:nvSpPr>
      <cdr:spPr>
        <a:xfrm xmlns:a="http://schemas.openxmlformats.org/drawingml/2006/main">
          <a:off x="2298700" y="1371600"/>
          <a:ext cx="1435100" cy="609600"/>
        </a:xfrm>
        <a:prstGeom xmlns:a="http://schemas.openxmlformats.org/drawingml/2006/main" prst="rect">
          <a:avLst/>
        </a:prstGeom>
        <a:noFill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square" rtlCol="0" anchor="ctr">
          <a:noAutofit/>
        </a:bodyPr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C565CFBA-4EDB-0C41-9299-6A7C0624FD6B}" type="TxLink">
            <a:rPr lang="en-US" sz="2400" b="1" i="0" u="none" strike="noStrike">
              <a:solidFill>
                <a:srgbClr val="000000"/>
              </a:solidFill>
              <a:latin typeface="Calibri"/>
              <a:cs typeface="Calibri"/>
            </a:rPr>
            <a:pPr algn="ctr"/>
            <a:t>87%</a:t>
          </a:fld>
          <a:endParaRPr lang="en-GB" sz="6600" b="1"/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0.38429</cdr:x>
      <cdr:y>0.41221</cdr:y>
    </cdr:from>
    <cdr:to>
      <cdr:x>0.6242</cdr:x>
      <cdr:y>0.59542</cdr:y>
    </cdr:to>
    <cdr:sp macro="" textlink="Inputs!$D$7">
      <cdr:nvSpPr>
        <cdr:cNvPr id="2" name="TextBox 11">
          <a:extLst xmlns:a="http://schemas.openxmlformats.org/drawingml/2006/main">
            <a:ext uri="{FF2B5EF4-FFF2-40B4-BE49-F238E27FC236}">
              <a16:creationId xmlns:a16="http://schemas.microsoft.com/office/drawing/2014/main" id="{CB7CACF4-731E-6581-9D73-0799C9046078}"/>
            </a:ext>
          </a:extLst>
        </cdr:cNvPr>
        <cdr:cNvSpPr txBox="1"/>
      </cdr:nvSpPr>
      <cdr:spPr>
        <a:xfrm xmlns:a="http://schemas.openxmlformats.org/drawingml/2006/main">
          <a:off x="2298700" y="1371600"/>
          <a:ext cx="1435100" cy="609600"/>
        </a:xfrm>
        <a:prstGeom xmlns:a="http://schemas.openxmlformats.org/drawingml/2006/main" prst="rect">
          <a:avLst/>
        </a:prstGeom>
        <a:noFill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square" rtlCol="0" anchor="ctr">
          <a:noAutofit/>
        </a:bodyPr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marL="0" indent="0" algn="ctr"/>
          <a:fld id="{F022C911-4EBA-1F49-8DB9-DD355BBF39BB}" type="TxLink">
            <a:rPr lang="en-US" sz="2400" b="1" i="0" u="none" strike="noStrike">
              <a:solidFill>
                <a:srgbClr val="000000"/>
              </a:solidFill>
              <a:latin typeface="Calibri"/>
              <a:ea typeface="+mn-ea"/>
              <a:cs typeface="Calibri"/>
            </a:rPr>
            <a:pPr marL="0" indent="0" algn="ctr"/>
            <a:t>85%</a:t>
          </a:fld>
          <a:endParaRPr lang="en-GB" sz="2400" b="1" i="0" u="none" strike="noStrike">
            <a:solidFill>
              <a:srgbClr val="000000"/>
            </a:solidFill>
            <a:latin typeface="Calibri"/>
            <a:ea typeface="+mn-ea"/>
            <a:cs typeface="Calibri"/>
          </a:endParaRP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182879</xdr:colOff>
      <xdr:row>8</xdr:row>
      <xdr:rowOff>110005</xdr:rowOff>
    </xdr:from>
    <xdr:to>
      <xdr:col>0</xdr:col>
      <xdr:colOff>646854</xdr:colOff>
      <xdr:row>10</xdr:row>
      <xdr:rowOff>171814</xdr:rowOff>
    </xdr:to>
    <xdr:pic>
      <xdr:nvPicPr>
        <xdr:cNvPr id="2" name="Graphic 1" descr="Table with solid fil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422059D-38F2-5A4D-B7A2-F32C517E44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"/>
            </a:ext>
          </a:extLst>
        </a:blip>
        <a:srcRect/>
        <a:stretch/>
      </xdr:blipFill>
      <xdr:spPr>
        <a:xfrm>
          <a:off x="182879" y="1735605"/>
          <a:ext cx="463975" cy="468209"/>
        </a:xfrm>
        <a:prstGeom prst="rect">
          <a:avLst/>
        </a:prstGeom>
      </xdr:spPr>
    </xdr:pic>
    <xdr:clientData/>
  </xdr:twoCellAnchor>
  <xdr:twoCellAnchor editAs="oneCell">
    <xdr:from>
      <xdr:col>0</xdr:col>
      <xdr:colOff>185569</xdr:colOff>
      <xdr:row>5</xdr:row>
      <xdr:rowOff>75630</xdr:rowOff>
    </xdr:from>
    <xdr:to>
      <xdr:col>0</xdr:col>
      <xdr:colOff>654801</xdr:colOff>
      <xdr:row>7</xdr:row>
      <xdr:rowOff>138753</xdr:rowOff>
    </xdr:to>
    <xdr:pic>
      <xdr:nvPicPr>
        <xdr:cNvPr id="3" name="Graphic 2" descr="Presentation with pie chart with solid fill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C6F1B048-AAA5-7E46-8436-C54C361CB8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185569" y="1091630"/>
          <a:ext cx="469232" cy="469523"/>
        </a:xfrm>
        <a:prstGeom prst="rect">
          <a:avLst/>
        </a:prstGeom>
      </xdr:spPr>
    </xdr:pic>
    <xdr:clientData/>
  </xdr:twoCellAnchor>
  <xdr:twoCellAnchor editAs="oneCell">
    <xdr:from>
      <xdr:col>0</xdr:col>
      <xdr:colOff>164402</xdr:colOff>
      <xdr:row>11</xdr:row>
      <xdr:rowOff>163829</xdr:rowOff>
    </xdr:from>
    <xdr:to>
      <xdr:col>0</xdr:col>
      <xdr:colOff>633634</xdr:colOff>
      <xdr:row>14</xdr:row>
      <xdr:rowOff>24554</xdr:rowOff>
    </xdr:to>
    <xdr:pic>
      <xdr:nvPicPr>
        <xdr:cNvPr id="4" name="Graphic 3" descr="Envelope with solid fill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32C245B7-793D-1642-B500-6D842118ED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9"/>
            </a:ext>
          </a:extLst>
        </a:blip>
        <a:stretch>
          <a:fillRect/>
        </a:stretch>
      </xdr:blipFill>
      <xdr:spPr>
        <a:xfrm>
          <a:off x="164402" y="2399029"/>
          <a:ext cx="469232" cy="470325"/>
        </a:xfrm>
        <a:prstGeom prst="rect">
          <a:avLst/>
        </a:prstGeom>
      </xdr:spPr>
    </xdr:pic>
    <xdr:clientData/>
  </xdr:twoCellAnchor>
  <xdr:twoCellAnchor editAs="oneCell">
    <xdr:from>
      <xdr:col>0</xdr:col>
      <xdr:colOff>99787</xdr:colOff>
      <xdr:row>1</xdr:row>
      <xdr:rowOff>9071</xdr:rowOff>
    </xdr:from>
    <xdr:to>
      <xdr:col>0</xdr:col>
      <xdr:colOff>743860</xdr:colOff>
      <xdr:row>4</xdr:row>
      <xdr:rowOff>39830</xdr:rowOff>
    </xdr:to>
    <xdr:pic>
      <xdr:nvPicPr>
        <xdr:cNvPr id="5" name="Graphic 4">
          <a:extLst>
            <a:ext uri="{FF2B5EF4-FFF2-40B4-BE49-F238E27FC236}">
              <a16:creationId xmlns:a16="http://schemas.microsoft.com/office/drawing/2014/main" id="{049CE7F7-44AB-B440-881B-A76F4B43C3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96DAC541-7B7A-43D3-8B79-37D633B846F1}">
              <asvg:svgBlip xmlns:asvg="http://schemas.microsoft.com/office/drawing/2016/SVG/main" r:embed="rId11"/>
            </a:ext>
          </a:extLst>
        </a:blip>
        <a:stretch>
          <a:fillRect/>
        </a:stretch>
      </xdr:blipFill>
      <xdr:spPr>
        <a:xfrm>
          <a:off x="99787" y="212271"/>
          <a:ext cx="644073" cy="640359"/>
        </a:xfrm>
        <a:prstGeom prst="rect">
          <a:avLst/>
        </a:prstGeom>
      </xdr:spPr>
    </xdr:pic>
    <xdr:clientData/>
  </xdr:twoCellAnchor>
  <xdr:twoCellAnchor editAs="oneCell">
    <xdr:from>
      <xdr:col>0</xdr:col>
      <xdr:colOff>205740</xdr:colOff>
      <xdr:row>15</xdr:row>
      <xdr:rowOff>30480</xdr:rowOff>
    </xdr:from>
    <xdr:to>
      <xdr:col>0</xdr:col>
      <xdr:colOff>581844</xdr:colOff>
      <xdr:row>17</xdr:row>
      <xdr:rowOff>10344</xdr:rowOff>
    </xdr:to>
    <xdr:pic>
      <xdr:nvPicPr>
        <xdr:cNvPr id="6" name="Graphic 5" descr="Question Mark with solid fill">
          <a:extLst>
            <a:ext uri="{FF2B5EF4-FFF2-40B4-BE49-F238E27FC236}">
              <a16:creationId xmlns:a16="http://schemas.microsoft.com/office/drawing/2014/main" id="{22C7E0A5-A654-4542-B236-3F89850CB1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3"/>
            </a:ext>
          </a:extLst>
        </a:blip>
        <a:srcRect/>
        <a:stretch/>
      </xdr:blipFill>
      <xdr:spPr>
        <a:xfrm>
          <a:off x="205740" y="3078480"/>
          <a:ext cx="376104" cy="386264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81CC6B9-F39E-D648-85FF-0F2B9EAA98CA}" name="Table1" displayName="Table1" ref="C4:D8" totalsRowShown="0" headerRowDxfId="11">
  <autoFilter ref="C4:D8" xr:uid="{881CC6B9-F39E-D648-85FF-0F2B9EAA98CA}"/>
  <tableColumns count="2">
    <tableColumn id="1" xr3:uid="{8EE075C4-F6AF-BA4A-8310-F260BAEAFC20}" name="Sales (M)"/>
    <tableColumn id="2" xr3:uid="{4B3D430B-3C28-1946-A1A1-2791985645AD}" name="Amount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A63B95F-4017-0F41-A48A-0C0916E575FA}" name="Table2" displayName="Table2" ref="F4:G8" totalsRowShown="0" headerRowDxfId="10">
  <autoFilter ref="F4:G8" xr:uid="{5A63B95F-4017-0F41-A48A-0C0916E575FA}"/>
  <tableColumns count="2">
    <tableColumn id="1" xr3:uid="{B06891F7-0947-A043-9AD1-3B1465149CB5}" name="Profit"/>
    <tableColumn id="2" xr3:uid="{664DE645-413C-4C4E-A338-91ABF3C66812}" name="Amount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C81B5D8-18AB-454C-BD20-1872A6920BD1}" name="Table3" displayName="Table3" ref="I4:J8" totalsRowShown="0" headerRowDxfId="9">
  <autoFilter ref="I4:J8" xr:uid="{1C81B5D8-18AB-454C-BD20-1872A6920BD1}"/>
  <tableColumns count="2">
    <tableColumn id="1" xr3:uid="{7D8CE5A3-14FE-724B-A8EE-083DF064FB32}" name="Customers"/>
    <tableColumn id="2" xr3:uid="{EDCF3E93-0CC0-5142-AA16-A22B6FD56396}" name="Amount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0416307-37E8-5943-83E7-BB23DB9CD186}" name="Table4" displayName="Table4" ref="C12:E25" totalsRowCount="1" headerRowDxfId="8">
  <autoFilter ref="C12:E24" xr:uid="{10416307-37E8-5943-83E7-BB23DB9CD186}"/>
  <tableColumns count="3">
    <tableColumn id="1" xr3:uid="{1A714A1C-4154-4C46-AF50-8C5432BDDE4B}" name="Figures in $M" totalsRowLabel="Total"/>
    <tableColumn id="2" xr3:uid="{D0A0DCB6-AC12-844E-980C-796F374D701A}" name="2021" totalsRowFunction="custom" dataDxfId="7" totalsRowDxfId="6">
      <totalsRowFormula>SUM(D13:D24)</totalsRowFormula>
    </tableColumn>
    <tableColumn id="3" xr3:uid="{452743FC-9CF5-2142-9792-7B2C908ABEA5}" name="2022" totalsRowFunction="custom" dataDxfId="5" totalsRowDxfId="4">
      <totalsRowFormula>SUM(Table4[2022])</totalsRowFormula>
    </tableColumn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75A03EEF-4EDB-8C43-88FF-1E15E6527602}" name="Table5" displayName="Table5" ref="G12:H19" totalsRowShown="0" headerRowDxfId="3">
  <autoFilter ref="G12:H19" xr:uid="{75A03EEF-4EDB-8C43-88FF-1E15E6527602}"/>
  <tableColumns count="2">
    <tableColumn id="1" xr3:uid="{D5F56AB1-944C-ED4E-85E1-A2F7927C7400}" name="Sales by country 2022"/>
    <tableColumn id="2" xr3:uid="{349D0EFF-7803-5A4B-8E7A-7C0637250D08}" name="Figures in $M" dataDxfId="2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D318D6AF-02E0-2E40-B56E-2E9BBE479261}" name="Table6" displayName="Table6" ref="J12:K17" totalsRowShown="0" headerRowDxfId="1">
  <autoFilter ref="J12:K17" xr:uid="{D318D6AF-02E0-2E40-B56E-2E9BBE479261}"/>
  <tableColumns count="2">
    <tableColumn id="1" xr3:uid="{C8B79036-7D23-3649-8847-5753843E3427}" name="Customer Satisfaction"/>
    <tableColumn id="2" xr3:uid="{93D5572C-B0D7-124E-9505-57B95855EF45}" name="Scor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7" Type="http://schemas.openxmlformats.org/officeDocument/2006/relationships/table" Target="../tables/table6.xml"/><Relationship Id="rId2" Type="http://schemas.openxmlformats.org/officeDocument/2006/relationships/table" Target="../tables/table1.xml"/><Relationship Id="rId1" Type="http://schemas.openxmlformats.org/officeDocument/2006/relationships/drawing" Target="../drawings/drawing5.xml"/><Relationship Id="rId6" Type="http://schemas.openxmlformats.org/officeDocument/2006/relationships/table" Target="../tables/table5.xml"/><Relationship Id="rId5" Type="http://schemas.openxmlformats.org/officeDocument/2006/relationships/table" Target="../tables/table4.xml"/><Relationship Id="rId4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D62819-44D1-EE4C-940E-0D3D0CCB2ED3}">
  <dimension ref="A1"/>
  <sheetViews>
    <sheetView showGridLines="0" tabSelected="1" zoomScaleNormal="100" workbookViewId="0">
      <selection activeCell="E34" sqref="E34"/>
    </sheetView>
  </sheetViews>
  <sheetFormatPr defaultColWidth="10.875" defaultRowHeight="15.75" x14ac:dyDescent="0.25"/>
  <cols>
    <col min="1" max="1" width="10.875" style="1"/>
    <col min="2" max="16384" width="10.875" style="2"/>
  </cols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C16DE6-AF43-5D41-92D8-941949992132}">
  <dimension ref="A2:K25"/>
  <sheetViews>
    <sheetView showGridLines="0" topLeftCell="A13" zoomScale="90" zoomScaleNormal="90" workbookViewId="0"/>
  </sheetViews>
  <sheetFormatPr defaultColWidth="11.125" defaultRowHeight="15.75" x14ac:dyDescent="0.25"/>
  <cols>
    <col min="1" max="1" width="10.875" style="1"/>
    <col min="2" max="2" width="4" customWidth="1"/>
    <col min="3" max="3" width="15.5" bestFit="1" customWidth="1"/>
    <col min="4" max="4" width="13.875" bestFit="1" customWidth="1"/>
    <col min="5" max="5" width="12.125" bestFit="1" customWidth="1"/>
    <col min="6" max="6" width="11.625" bestFit="1" customWidth="1"/>
    <col min="7" max="7" width="22.875" bestFit="1" customWidth="1"/>
    <col min="8" max="8" width="15.5" bestFit="1" customWidth="1"/>
    <col min="9" max="9" width="15.875" bestFit="1" customWidth="1"/>
    <col min="10" max="10" width="25.5" bestFit="1" customWidth="1"/>
    <col min="11" max="11" width="11.625" bestFit="1" customWidth="1"/>
  </cols>
  <sheetData>
    <row r="2" spans="3:11" x14ac:dyDescent="0.25">
      <c r="C2" s="8" t="s">
        <v>36</v>
      </c>
      <c r="D2" s="8"/>
      <c r="E2" s="8"/>
      <c r="F2" s="8"/>
      <c r="G2" s="8"/>
      <c r="H2" s="8"/>
      <c r="I2" s="8"/>
      <c r="J2" s="8"/>
    </row>
    <row r="4" spans="3:11" x14ac:dyDescent="0.25">
      <c r="C4" s="4" t="s">
        <v>33</v>
      </c>
      <c r="D4" s="4" t="s">
        <v>29</v>
      </c>
      <c r="F4" s="4" t="s">
        <v>32</v>
      </c>
      <c r="G4" s="4" t="s">
        <v>29</v>
      </c>
      <c r="I4" s="4" t="s">
        <v>23</v>
      </c>
      <c r="J4" s="4" t="s">
        <v>29</v>
      </c>
    </row>
    <row r="5" spans="3:11" x14ac:dyDescent="0.25">
      <c r="C5" t="s">
        <v>30</v>
      </c>
      <c r="D5" s="9">
        <v>2543.9</v>
      </c>
      <c r="F5" t="s">
        <v>30</v>
      </c>
      <c r="G5" s="10">
        <v>890.36500000000001</v>
      </c>
      <c r="I5" t="s">
        <v>30</v>
      </c>
      <c r="J5" s="6">
        <v>87</v>
      </c>
    </row>
    <row r="6" spans="3:11" x14ac:dyDescent="0.25">
      <c r="C6" t="s">
        <v>31</v>
      </c>
      <c r="D6" s="9">
        <v>3000</v>
      </c>
      <c r="F6" t="s">
        <v>31</v>
      </c>
      <c r="G6" s="10">
        <v>1000</v>
      </c>
      <c r="I6" t="s">
        <v>31</v>
      </c>
      <c r="J6" s="6">
        <v>100</v>
      </c>
    </row>
    <row r="7" spans="3:11" x14ac:dyDescent="0.25">
      <c r="C7" t="s">
        <v>34</v>
      </c>
      <c r="D7" s="7">
        <f>D5/D6</f>
        <v>0.84796666666666665</v>
      </c>
      <c r="F7" t="s">
        <v>34</v>
      </c>
      <c r="G7" s="7">
        <f>G5/G6</f>
        <v>0.89036499999999996</v>
      </c>
      <c r="I7" t="s">
        <v>34</v>
      </c>
      <c r="J7" s="7">
        <f>J5/J6</f>
        <v>0.87</v>
      </c>
    </row>
    <row r="8" spans="3:11" x14ac:dyDescent="0.25">
      <c r="C8" t="s">
        <v>35</v>
      </c>
      <c r="D8" s="7">
        <f>100%-D7</f>
        <v>0.15203333333333335</v>
      </c>
      <c r="F8" t="s">
        <v>35</v>
      </c>
      <c r="G8" s="7">
        <f>100%-G7</f>
        <v>0.10963500000000004</v>
      </c>
      <c r="I8" t="s">
        <v>35</v>
      </c>
      <c r="J8" s="7">
        <f>100%-J7</f>
        <v>0.13</v>
      </c>
    </row>
    <row r="9" spans="3:11" x14ac:dyDescent="0.25">
      <c r="G9" s="13"/>
    </row>
    <row r="10" spans="3:11" x14ac:dyDescent="0.25">
      <c r="C10" s="8" t="s">
        <v>37</v>
      </c>
      <c r="D10" s="8"/>
      <c r="E10" s="8"/>
      <c r="F10" s="8"/>
      <c r="G10" s="8"/>
      <c r="H10" s="8"/>
      <c r="J10" s="8" t="s">
        <v>19</v>
      </c>
      <c r="K10" s="8"/>
    </row>
    <row r="12" spans="3:11" x14ac:dyDescent="0.25">
      <c r="C12" s="3" t="s">
        <v>7</v>
      </c>
      <c r="D12" s="3" t="s">
        <v>38</v>
      </c>
      <c r="E12" s="3" t="s">
        <v>39</v>
      </c>
      <c r="G12" s="3" t="s">
        <v>20</v>
      </c>
      <c r="H12" s="3" t="s">
        <v>7</v>
      </c>
      <c r="J12" s="4" t="s">
        <v>19</v>
      </c>
      <c r="K12" s="4" t="s">
        <v>22</v>
      </c>
    </row>
    <row r="13" spans="3:11" x14ac:dyDescent="0.25">
      <c r="C13" t="s">
        <v>8</v>
      </c>
      <c r="D13" s="12">
        <v>201.9</v>
      </c>
      <c r="E13" s="12">
        <v>215.3</v>
      </c>
      <c r="G13" t="s">
        <v>0</v>
      </c>
      <c r="H13" s="11">
        <v>953.3</v>
      </c>
      <c r="J13" t="s">
        <v>28</v>
      </c>
      <c r="K13" s="5">
        <v>0.54</v>
      </c>
    </row>
    <row r="14" spans="3:11" x14ac:dyDescent="0.25">
      <c r="C14" t="s">
        <v>9</v>
      </c>
      <c r="D14" s="12">
        <v>204.2</v>
      </c>
      <c r="E14" s="12">
        <v>217.6</v>
      </c>
      <c r="G14" t="s">
        <v>3</v>
      </c>
      <c r="H14" s="11">
        <v>432.4</v>
      </c>
      <c r="J14" t="s">
        <v>27</v>
      </c>
      <c r="K14" s="5">
        <v>0.86</v>
      </c>
    </row>
    <row r="15" spans="3:11" x14ac:dyDescent="0.25">
      <c r="C15" t="s">
        <v>10</v>
      </c>
      <c r="D15" s="12">
        <v>198.6</v>
      </c>
      <c r="E15" s="12">
        <v>220.1</v>
      </c>
      <c r="G15" t="s">
        <v>21</v>
      </c>
      <c r="H15" s="11">
        <v>553.20000000000005</v>
      </c>
      <c r="J15" t="s">
        <v>26</v>
      </c>
      <c r="K15" s="5">
        <v>0.93</v>
      </c>
    </row>
    <row r="16" spans="3:11" x14ac:dyDescent="0.25">
      <c r="C16" t="s">
        <v>11</v>
      </c>
      <c r="D16" s="12">
        <v>199.2</v>
      </c>
      <c r="E16" s="12">
        <v>206.4</v>
      </c>
      <c r="G16" t="s">
        <v>4</v>
      </c>
      <c r="H16" s="11">
        <v>445.1</v>
      </c>
      <c r="J16" t="s">
        <v>25</v>
      </c>
      <c r="K16" s="5">
        <v>0.53</v>
      </c>
    </row>
    <row r="17" spans="3:11" x14ac:dyDescent="0.25">
      <c r="C17" t="s">
        <v>6</v>
      </c>
      <c r="D17" s="12">
        <v>206.4</v>
      </c>
      <c r="E17" s="12">
        <v>204.3</v>
      </c>
      <c r="G17" t="s">
        <v>5</v>
      </c>
      <c r="H17" s="11">
        <v>425.1</v>
      </c>
      <c r="J17" t="s">
        <v>24</v>
      </c>
      <c r="K17" s="5">
        <v>0.95</v>
      </c>
    </row>
    <row r="18" spans="3:11" x14ac:dyDescent="0.25">
      <c r="C18" t="s">
        <v>12</v>
      </c>
      <c r="D18" s="12">
        <v>195.3</v>
      </c>
      <c r="E18" s="12">
        <v>203</v>
      </c>
      <c r="G18" t="s">
        <v>2</v>
      </c>
      <c r="H18" s="11">
        <v>253.6</v>
      </c>
    </row>
    <row r="19" spans="3:11" x14ac:dyDescent="0.25">
      <c r="C19" t="s">
        <v>13</v>
      </c>
      <c r="D19" s="12">
        <v>192.4</v>
      </c>
      <c r="E19" s="12">
        <v>201.5</v>
      </c>
      <c r="G19" t="s">
        <v>1</v>
      </c>
      <c r="H19" s="11">
        <v>387.5</v>
      </c>
    </row>
    <row r="20" spans="3:11" x14ac:dyDescent="0.25">
      <c r="C20" t="s">
        <v>14</v>
      </c>
      <c r="D20" s="12">
        <v>186.3</v>
      </c>
      <c r="E20" s="12">
        <v>200.6</v>
      </c>
    </row>
    <row r="21" spans="3:11" x14ac:dyDescent="0.25">
      <c r="C21" t="s">
        <v>15</v>
      </c>
      <c r="D21" s="12">
        <v>194.2</v>
      </c>
      <c r="E21" s="12">
        <v>210.6</v>
      </c>
    </row>
    <row r="22" spans="3:11" x14ac:dyDescent="0.25">
      <c r="C22" t="s">
        <v>16</v>
      </c>
      <c r="D22" s="12">
        <v>199</v>
      </c>
      <c r="E22" s="12">
        <v>216.4</v>
      </c>
    </row>
    <row r="23" spans="3:11" x14ac:dyDescent="0.25">
      <c r="C23" t="s">
        <v>17</v>
      </c>
      <c r="D23" s="12">
        <v>205.2</v>
      </c>
      <c r="E23" s="12">
        <v>222.3</v>
      </c>
    </row>
    <row r="24" spans="3:11" x14ac:dyDescent="0.25">
      <c r="C24" t="s">
        <v>18</v>
      </c>
      <c r="D24" s="12">
        <v>204.3</v>
      </c>
      <c r="E24" s="12">
        <v>225.8</v>
      </c>
    </row>
    <row r="25" spans="3:11" x14ac:dyDescent="0.25">
      <c r="C25" t="s">
        <v>40</v>
      </c>
      <c r="D25" s="12">
        <f>SUM(D13:D24)</f>
        <v>2387.0000000000005</v>
      </c>
      <c r="E25" s="12">
        <f>SUM(Table4[2022])</f>
        <v>2543.9</v>
      </c>
    </row>
  </sheetData>
  <pageMargins left="0.7" right="0.7" top="0.75" bottom="0.75" header="0.3" footer="0.3"/>
  <drawing r:id="rId1"/>
  <tableParts count="6">
    <tablePart r:id="rId2"/>
    <tablePart r:id="rId3"/>
    <tablePart r:id="rId4"/>
    <tablePart r:id="rId5"/>
    <tablePart r:id="rId6"/>
    <tablePart r:id="rId7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Dashboard</vt:lpstr>
      <vt:lpstr>Inputs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Priya Kakade</cp:lastModifiedBy>
  <dcterms:created xsi:type="dcterms:W3CDTF">2023-01-30T08:37:14Z</dcterms:created>
  <dcterms:modified xsi:type="dcterms:W3CDTF">2025-12-17T18:23:38Z</dcterms:modified>
</cp:coreProperties>
</file>